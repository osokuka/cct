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ARCOM\"/>
    </mc:Choice>
  </mc:AlternateContent>
  <xr:revisionPtr revIDLastSave="0" documentId="8_{DF357AB4-C111-43F6-AE15-603DABD5C8EC}" xr6:coauthVersionLast="47" xr6:coauthVersionMax="47" xr10:uidLastSave="{00000000-0000-0000-0000-000000000000}"/>
  <bookViews>
    <workbookView xWindow="19095" yWindow="0" windowWidth="19410" windowHeight="15585" xr2:uid="{46B18EA4-FB80-478B-8C79-C69BB6F4E5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M20" i="1" s="1"/>
  <c r="H19" i="1"/>
  <c r="M19" i="1" s="1"/>
  <c r="H18" i="1"/>
  <c r="M18" i="1" s="1"/>
  <c r="H17" i="1"/>
  <c r="M17" i="1" s="1"/>
  <c r="H16" i="1"/>
  <c r="L16" i="1" s="1"/>
  <c r="H15" i="1"/>
  <c r="M15" i="1" s="1"/>
  <c r="H14" i="1"/>
  <c r="L14" i="1" s="1"/>
  <c r="H13" i="1"/>
  <c r="M13" i="1" s="1"/>
  <c r="H12" i="1"/>
  <c r="L12" i="1" s="1"/>
  <c r="H11" i="1"/>
  <c r="M11" i="1" s="1"/>
  <c r="H10" i="1"/>
  <c r="L10" i="1" s="1"/>
  <c r="H9" i="1"/>
  <c r="L9" i="1" s="1"/>
  <c r="H8" i="1"/>
  <c r="M8" i="1" s="1"/>
  <c r="H7" i="1"/>
  <c r="M7" i="1" s="1"/>
  <c r="H6" i="1"/>
  <c r="M6" i="1" s="1"/>
  <c r="H5" i="1"/>
  <c r="M5" i="1" s="1"/>
  <c r="H4" i="1"/>
  <c r="M4" i="1" s="1"/>
  <c r="H3" i="1"/>
  <c r="M3" i="1" s="1"/>
  <c r="L17" i="1" l="1"/>
  <c r="M9" i="1"/>
  <c r="L11" i="1"/>
  <c r="M12" i="1"/>
  <c r="L13" i="1"/>
  <c r="M14" i="1"/>
  <c r="L15" i="1"/>
  <c r="L3" i="1"/>
  <c r="M16" i="1"/>
  <c r="L4" i="1"/>
  <c r="L18" i="1"/>
  <c r="L5" i="1"/>
  <c r="L19" i="1"/>
  <c r="L6" i="1"/>
  <c r="L20" i="1"/>
  <c r="L7" i="1"/>
  <c r="L8" i="1"/>
  <c r="M10" i="1"/>
</calcChain>
</file>

<file path=xl/sharedStrings.xml><?xml version="1.0" encoding="utf-8"?>
<sst xmlns="http://schemas.openxmlformats.org/spreadsheetml/2006/main" count="216" uniqueCount="102">
  <si>
    <t>Qty 
of rooms</t>
  </si>
  <si>
    <t>Actual Sqm (m2)</t>
  </si>
  <si>
    <t>Frequency 
Per Day</t>
  </si>
  <si>
    <t>Frequency 
Per Week</t>
  </si>
  <si>
    <t xml:space="preserve">Max Frexuency 
Per Month </t>
  </si>
  <si>
    <t>Total m²
Week</t>
  </si>
  <si>
    <t>EoM Invoicing max.
 Sqm (m2)</t>
  </si>
  <si>
    <t># Weeks of 
service</t>
  </si>
  <si>
    <t>Start Date</t>
  </si>
  <si>
    <t>End Date</t>
  </si>
  <si>
    <t xml:space="preserve">Bld. 87, 1 single container (toilet) </t>
  </si>
  <si>
    <t>Bld. 87,1 single containers F4</t>
  </si>
  <si>
    <t>Bld. 87,1 single containers F5</t>
  </si>
  <si>
    <t>Bld. 87,1 single containers F6</t>
  </si>
  <si>
    <t>Bld. 87, 1 single container - Kitchen F2</t>
  </si>
  <si>
    <t>Bld. 87, 1 double containers F7</t>
  </si>
  <si>
    <t>Bld. 87, 1 double containers F9</t>
  </si>
  <si>
    <t>Bld. 87, 1 double container F3 ,1 single container F3</t>
  </si>
  <si>
    <t>Bld. 17 Corridor Ground Floor</t>
  </si>
  <si>
    <t>Bld. 17  Corridor First Floor</t>
  </si>
  <si>
    <t xml:space="preserve">Bld. 193, 4 single containers (sanitary) </t>
  </si>
  <si>
    <t xml:space="preserve">Bld. 126, AUT Toilet next to garage Bld. 126 (single container) </t>
  </si>
  <si>
    <t>Bld. 103 MWA area 01</t>
  </si>
  <si>
    <t>Bld. 103 MWA area 02</t>
  </si>
  <si>
    <t>Bld. 139, I-ZG Kanzei / 101 (Double Container)</t>
  </si>
  <si>
    <t xml:space="preserve">Bld. 139, Auftenthaltsraum 102 (triple container) </t>
  </si>
  <si>
    <t xml:space="preserve">Bld. 126, Fm-Wkst I04  and EtLG Kanzlei(2 double containters) </t>
  </si>
  <si>
    <t>Bld. 127, MechUO Kanzlei I06</t>
  </si>
  <si>
    <r>
      <t>m</t>
    </r>
    <r>
      <rPr>
        <b/>
        <sz val="14"/>
        <color indexed="63"/>
        <rFont val="Calibri"/>
        <family val="2"/>
      </rPr>
      <t>²</t>
    </r>
  </si>
  <si>
    <t>BLD Code</t>
  </si>
  <si>
    <t>BLG Name</t>
  </si>
  <si>
    <t>Bld87</t>
  </si>
  <si>
    <t>Bld17</t>
  </si>
  <si>
    <t>Bld193</t>
  </si>
  <si>
    <t>Bld103</t>
  </si>
  <si>
    <t>Bld139</t>
  </si>
  <si>
    <t>Bld126</t>
  </si>
  <si>
    <t>Bld127</t>
  </si>
  <si>
    <t>Building 87</t>
  </si>
  <si>
    <t>Building 17</t>
  </si>
  <si>
    <t>Building 193</t>
  </si>
  <si>
    <t>Building 126</t>
  </si>
  <si>
    <t>Building 103</t>
  </si>
  <si>
    <t>Building 139</t>
  </si>
  <si>
    <t>Building 127</t>
  </si>
  <si>
    <t>Description</t>
  </si>
  <si>
    <t>Compound Code</t>
  </si>
  <si>
    <t>AUT</t>
  </si>
  <si>
    <t>Compound Name</t>
  </si>
  <si>
    <t>Austrian Compound</t>
  </si>
  <si>
    <t>C2</t>
  </si>
  <si>
    <t>Camp Site 2</t>
  </si>
  <si>
    <t xml:space="preserve">Bld. 26 Ground Floor corridor </t>
  </si>
  <si>
    <t xml:space="preserve">Bld. 26 First Floor corridor </t>
  </si>
  <si>
    <t>Bld. 26 Ground Floor - Room 01, Site Manager Office</t>
  </si>
  <si>
    <t>Bld. 26 Ground Floor - Room 02, ID office</t>
  </si>
  <si>
    <t xml:space="preserve">Bld. 26 Ground Floor - Room 3A, ID Office </t>
  </si>
  <si>
    <t xml:space="preserve">Bld. 26 Ground Floor - Room 3B, Infra Mgr Office </t>
  </si>
  <si>
    <t xml:space="preserve">Bld. 26 Ground Floor - Room 4, Deputy Site Manager Office </t>
  </si>
  <si>
    <t xml:space="preserve">Bld. 26 Ground Floor - Room 5A, DCOM Office </t>
  </si>
  <si>
    <t xml:space="preserve">Bld. 26 Ground Floor - Room 06A, shreder Room </t>
  </si>
  <si>
    <t xml:space="preserve">Bld. 26 Ground Floor - Laundry Room </t>
  </si>
  <si>
    <t>Bld. 26 Ground Floor - Room 07B, Kitchen</t>
  </si>
  <si>
    <t xml:space="preserve">Bld. 26 Ground Floor - Room 07A, MWA </t>
  </si>
  <si>
    <t>Bld. 26. First Floor - Room 18, printer room</t>
  </si>
  <si>
    <t xml:space="preserve">Bld. 26. First Floor - Room 19, Admin Office </t>
  </si>
  <si>
    <t xml:space="preserve">Bld. 26. First Floor - Room 20, Meeting Room </t>
  </si>
  <si>
    <t xml:space="preserve">Bld. 26 First Floor - Room 21A, Commanders Office </t>
  </si>
  <si>
    <t>Bld.115 Ground Floor - Room 01,Ammuntion Depot</t>
  </si>
  <si>
    <t>Bld.115 Ground Floor - Room 02, Ammuntion Depot</t>
  </si>
  <si>
    <t>Bld.115 Ground Floor - Room 04/05, Ammuntion Depot</t>
  </si>
  <si>
    <t>Bld.115 Ground Floor - Room 06, Ammuntion Depot</t>
  </si>
  <si>
    <t>Bld. 119, Single container  J2X</t>
  </si>
  <si>
    <t>Bld. 119, Double container J2X</t>
  </si>
  <si>
    <t>Camp Site 3</t>
  </si>
  <si>
    <t>Camp Site 4</t>
  </si>
  <si>
    <t>Camp Site 5</t>
  </si>
  <si>
    <t>Camp Site 6</t>
  </si>
  <si>
    <t>Camp Site 7</t>
  </si>
  <si>
    <t>Camp Site 8</t>
  </si>
  <si>
    <t>Camp Site 9</t>
  </si>
  <si>
    <t>Camp Site 10</t>
  </si>
  <si>
    <t>Camp Site 11</t>
  </si>
  <si>
    <t>Camp Site 12</t>
  </si>
  <si>
    <t>Camp Site 13</t>
  </si>
  <si>
    <t>Camp Site 14</t>
  </si>
  <si>
    <t>Camp Site 15</t>
  </si>
  <si>
    <t>Camp Site 16</t>
  </si>
  <si>
    <t>Camp Site 17</t>
  </si>
  <si>
    <t>Camp Site 18</t>
  </si>
  <si>
    <t>Camp Site 19</t>
  </si>
  <si>
    <t>Camp Site 20</t>
  </si>
  <si>
    <t>Camp Site 21</t>
  </si>
  <si>
    <t>Camp Site 22</t>
  </si>
  <si>
    <t>Camp Site 23</t>
  </si>
  <si>
    <t>BLD26</t>
  </si>
  <si>
    <t>BLD119</t>
  </si>
  <si>
    <t>BLD115</t>
  </si>
  <si>
    <t xml:space="preserve">BLD26 </t>
  </si>
  <si>
    <t>Building 26</t>
  </si>
  <si>
    <t>Building 115</t>
  </si>
  <si>
    <t>Building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</si>
</sst>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4"/>
      <color theme="1" tint="0.1499984740745262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b/>
      <sz val="14"/>
      <color indexed="63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5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distributed"/>
    </xf>
    <xf numFmtId="0" fontId="1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750B-DA89-40BC-9B4B-E10A67519D5F}">
  <dimension ref="A1:P42"/>
  <sheetViews>
    <sheetView tabSelected="1" topLeftCell="H7" workbookViewId="0">
      <selection sqref="A1:P42"/>
    </sheetView>
  </sheetViews>
  <sheetFormatPr defaultColWidth="61" defaultRowHeight="15" x14ac:dyDescent="0.25"/>
  <cols>
    <col min="1" max="1" width="15.7109375" bestFit="1" customWidth="1"/>
    <col min="2" max="2" width="18.85546875" bestFit="1" customWidth="1"/>
    <col min="6" max="6" width="6.5703125" bestFit="1" customWidth="1"/>
    <col min="7" max="7" width="9" bestFit="1" customWidth="1"/>
    <col min="8" max="8" width="15.7109375" bestFit="1" customWidth="1"/>
    <col min="9" max="10" width="10.42578125" bestFit="1" customWidth="1"/>
    <col min="11" max="11" width="14.42578125" bestFit="1" customWidth="1"/>
    <col min="12" max="12" width="8.28515625" bestFit="1" customWidth="1"/>
    <col min="13" max="13" width="18.42578125" bestFit="1" customWidth="1"/>
    <col min="14" max="14" width="10.85546875" bestFit="1" customWidth="1"/>
    <col min="15" max="15" width="10" bestFit="1" customWidth="1"/>
    <col min="16" max="16" width="10.85546875" bestFit="1" customWidth="1"/>
  </cols>
  <sheetData>
    <row r="1" spans="1:16" x14ac:dyDescent="0.25">
      <c r="A1" s="17" t="s">
        <v>46</v>
      </c>
      <c r="B1" s="17" t="s">
        <v>48</v>
      </c>
      <c r="C1" s="8" t="s">
        <v>29</v>
      </c>
      <c r="D1" s="8" t="s">
        <v>30</v>
      </c>
      <c r="E1" s="8" t="s">
        <v>45</v>
      </c>
      <c r="F1" s="9" t="s">
        <v>28</v>
      </c>
      <c r="G1" s="8" t="s">
        <v>0</v>
      </c>
      <c r="H1" s="10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11" t="s">
        <v>8</v>
      </c>
      <c r="P1" s="11" t="s">
        <v>9</v>
      </c>
    </row>
    <row r="2" spans="1:16" x14ac:dyDescent="0.25">
      <c r="A2" s="17"/>
      <c r="B2" s="17"/>
      <c r="C2" s="11"/>
      <c r="D2" s="11"/>
      <c r="E2" s="11"/>
      <c r="F2" s="9"/>
      <c r="G2" s="8"/>
      <c r="H2" s="12"/>
      <c r="I2" s="13"/>
      <c r="J2" s="13"/>
      <c r="K2" s="11"/>
      <c r="L2" s="13"/>
      <c r="M2" s="13"/>
      <c r="N2" s="8"/>
      <c r="O2" s="11"/>
      <c r="P2" s="11"/>
    </row>
    <row r="3" spans="1:16" x14ac:dyDescent="0.25">
      <c r="A3" s="18" t="s">
        <v>47</v>
      </c>
      <c r="B3" s="18" t="s">
        <v>49</v>
      </c>
      <c r="C3" s="14" t="s">
        <v>31</v>
      </c>
      <c r="D3" s="14" t="s">
        <v>38</v>
      </c>
      <c r="E3" s="14" t="s">
        <v>10</v>
      </c>
      <c r="F3" s="2">
        <v>13.16</v>
      </c>
      <c r="G3" s="3">
        <v>1</v>
      </c>
      <c r="H3" s="4">
        <f>F3*G3</f>
        <v>13.16</v>
      </c>
      <c r="I3" s="3">
        <v>1</v>
      </c>
      <c r="J3" s="3">
        <v>7</v>
      </c>
      <c r="K3" s="3">
        <v>31</v>
      </c>
      <c r="L3" s="3">
        <f>H3*J3</f>
        <v>92.12</v>
      </c>
      <c r="M3" s="3">
        <f>H3*K3</f>
        <v>407.96</v>
      </c>
      <c r="N3" s="15">
        <v>14</v>
      </c>
      <c r="O3" s="1">
        <v>45931</v>
      </c>
      <c r="P3" s="1">
        <v>46022</v>
      </c>
    </row>
    <row r="4" spans="1:16" x14ac:dyDescent="0.25">
      <c r="A4" s="18" t="s">
        <v>47</v>
      </c>
      <c r="B4" s="18" t="s">
        <v>49</v>
      </c>
      <c r="C4" s="14" t="s">
        <v>31</v>
      </c>
      <c r="D4" s="14" t="s">
        <v>38</v>
      </c>
      <c r="E4" s="14" t="s">
        <v>11</v>
      </c>
      <c r="F4" s="2">
        <v>13.16</v>
      </c>
      <c r="G4" s="3">
        <v>1</v>
      </c>
      <c r="H4" s="4">
        <f t="shared" ref="H4:H14" si="0">F4*G4</f>
        <v>13.16</v>
      </c>
      <c r="I4" s="3">
        <v>1</v>
      </c>
      <c r="J4" s="3">
        <v>3</v>
      </c>
      <c r="K4" s="3">
        <v>15</v>
      </c>
      <c r="L4" s="3">
        <f>H4*J4</f>
        <v>39.480000000000004</v>
      </c>
      <c r="M4" s="3">
        <f t="shared" ref="M4:M14" si="1">H4*K4</f>
        <v>197.4</v>
      </c>
      <c r="N4" s="15">
        <v>14</v>
      </c>
      <c r="O4" s="1">
        <v>45931</v>
      </c>
      <c r="P4" s="1">
        <v>46022</v>
      </c>
    </row>
    <row r="5" spans="1:16" x14ac:dyDescent="0.25">
      <c r="A5" s="18" t="s">
        <v>47</v>
      </c>
      <c r="B5" s="18" t="s">
        <v>49</v>
      </c>
      <c r="C5" s="14" t="s">
        <v>31</v>
      </c>
      <c r="D5" s="14" t="s">
        <v>38</v>
      </c>
      <c r="E5" s="14" t="s">
        <v>12</v>
      </c>
      <c r="F5" s="2">
        <v>13.16</v>
      </c>
      <c r="G5" s="3">
        <v>1</v>
      </c>
      <c r="H5" s="4">
        <f t="shared" si="0"/>
        <v>13.16</v>
      </c>
      <c r="I5" s="3">
        <v>1</v>
      </c>
      <c r="J5" s="3">
        <v>3</v>
      </c>
      <c r="K5" s="3">
        <v>15</v>
      </c>
      <c r="L5" s="3">
        <f>H5*J5</f>
        <v>39.480000000000004</v>
      </c>
      <c r="M5" s="3">
        <f t="shared" si="1"/>
        <v>197.4</v>
      </c>
      <c r="N5" s="15">
        <v>14</v>
      </c>
      <c r="O5" s="1">
        <v>45931</v>
      </c>
      <c r="P5" s="1">
        <v>46022</v>
      </c>
    </row>
    <row r="6" spans="1:16" x14ac:dyDescent="0.25">
      <c r="A6" s="18" t="s">
        <v>47</v>
      </c>
      <c r="B6" s="18" t="s">
        <v>49</v>
      </c>
      <c r="C6" s="14" t="s">
        <v>31</v>
      </c>
      <c r="D6" s="14" t="s">
        <v>38</v>
      </c>
      <c r="E6" s="14" t="s">
        <v>13</v>
      </c>
      <c r="F6" s="2">
        <v>13.16</v>
      </c>
      <c r="G6" s="3">
        <v>1</v>
      </c>
      <c r="H6" s="4">
        <f t="shared" si="0"/>
        <v>13.16</v>
      </c>
      <c r="I6" s="3">
        <v>1</v>
      </c>
      <c r="J6" s="3">
        <v>3</v>
      </c>
      <c r="K6" s="3">
        <v>15</v>
      </c>
      <c r="L6" s="3">
        <f t="shared" ref="L6:L14" si="2">H6*J6</f>
        <v>39.480000000000004</v>
      </c>
      <c r="M6" s="3">
        <f t="shared" si="1"/>
        <v>197.4</v>
      </c>
      <c r="N6" s="15">
        <v>14</v>
      </c>
      <c r="O6" s="1">
        <v>45931</v>
      </c>
      <c r="P6" s="1">
        <v>46022</v>
      </c>
    </row>
    <row r="7" spans="1:16" x14ac:dyDescent="0.25">
      <c r="A7" s="18" t="s">
        <v>47</v>
      </c>
      <c r="B7" s="18" t="s">
        <v>49</v>
      </c>
      <c r="C7" s="14" t="s">
        <v>31</v>
      </c>
      <c r="D7" s="14" t="s">
        <v>38</v>
      </c>
      <c r="E7" s="14" t="s">
        <v>14</v>
      </c>
      <c r="F7" s="2">
        <v>13.16</v>
      </c>
      <c r="G7" s="5">
        <v>1</v>
      </c>
      <c r="H7" s="4">
        <f t="shared" si="0"/>
        <v>13.16</v>
      </c>
      <c r="I7" s="3">
        <v>1</v>
      </c>
      <c r="J7" s="3">
        <v>6</v>
      </c>
      <c r="K7" s="3">
        <v>30</v>
      </c>
      <c r="L7" s="3">
        <f t="shared" si="2"/>
        <v>78.960000000000008</v>
      </c>
      <c r="M7" s="3">
        <f t="shared" si="1"/>
        <v>394.8</v>
      </c>
      <c r="N7" s="15">
        <v>14</v>
      </c>
      <c r="O7" s="1">
        <v>45931</v>
      </c>
      <c r="P7" s="1">
        <v>46022</v>
      </c>
    </row>
    <row r="8" spans="1:16" x14ac:dyDescent="0.25">
      <c r="A8" s="18" t="s">
        <v>47</v>
      </c>
      <c r="B8" s="18" t="s">
        <v>49</v>
      </c>
      <c r="C8" s="14" t="s">
        <v>31</v>
      </c>
      <c r="D8" s="14" t="s">
        <v>38</v>
      </c>
      <c r="E8" s="14" t="s">
        <v>15</v>
      </c>
      <c r="F8" s="2">
        <v>27.5</v>
      </c>
      <c r="G8" s="5">
        <v>1</v>
      </c>
      <c r="H8" s="4">
        <f t="shared" si="0"/>
        <v>27.5</v>
      </c>
      <c r="I8" s="3">
        <v>1</v>
      </c>
      <c r="J8" s="3">
        <v>3</v>
      </c>
      <c r="K8" s="3">
        <v>15</v>
      </c>
      <c r="L8" s="3">
        <f t="shared" si="2"/>
        <v>82.5</v>
      </c>
      <c r="M8" s="3">
        <f t="shared" si="1"/>
        <v>412.5</v>
      </c>
      <c r="N8" s="15">
        <v>14</v>
      </c>
      <c r="O8" s="1">
        <v>45931</v>
      </c>
      <c r="P8" s="1">
        <v>46022</v>
      </c>
    </row>
    <row r="9" spans="1:16" x14ac:dyDescent="0.25">
      <c r="A9" s="18" t="s">
        <v>47</v>
      </c>
      <c r="B9" s="18" t="s">
        <v>49</v>
      </c>
      <c r="C9" s="14" t="s">
        <v>31</v>
      </c>
      <c r="D9" s="14" t="s">
        <v>38</v>
      </c>
      <c r="E9" s="14" t="s">
        <v>16</v>
      </c>
      <c r="F9" s="2">
        <v>27.5</v>
      </c>
      <c r="G9" s="5">
        <v>1</v>
      </c>
      <c r="H9" s="4">
        <f t="shared" si="0"/>
        <v>27.5</v>
      </c>
      <c r="I9" s="3">
        <v>1</v>
      </c>
      <c r="J9" s="3">
        <v>3</v>
      </c>
      <c r="K9" s="3">
        <v>15</v>
      </c>
      <c r="L9" s="3">
        <f t="shared" si="2"/>
        <v>82.5</v>
      </c>
      <c r="M9" s="3">
        <f t="shared" si="1"/>
        <v>412.5</v>
      </c>
      <c r="N9" s="15">
        <v>14</v>
      </c>
      <c r="O9" s="1">
        <v>45931</v>
      </c>
      <c r="P9" s="1">
        <v>46022</v>
      </c>
    </row>
    <row r="10" spans="1:16" x14ac:dyDescent="0.25">
      <c r="A10" s="18" t="s">
        <v>47</v>
      </c>
      <c r="B10" s="18" t="s">
        <v>49</v>
      </c>
      <c r="C10" s="14" t="s">
        <v>31</v>
      </c>
      <c r="D10" s="14" t="s">
        <v>38</v>
      </c>
      <c r="E10" s="14" t="s">
        <v>17</v>
      </c>
      <c r="F10" s="2">
        <v>41.54</v>
      </c>
      <c r="G10" s="5">
        <v>1</v>
      </c>
      <c r="H10" s="4">
        <f t="shared" si="0"/>
        <v>41.54</v>
      </c>
      <c r="I10" s="3">
        <v>1</v>
      </c>
      <c r="J10" s="3">
        <v>3</v>
      </c>
      <c r="K10" s="3">
        <v>15</v>
      </c>
      <c r="L10" s="3">
        <f t="shared" si="2"/>
        <v>124.62</v>
      </c>
      <c r="M10" s="3">
        <f t="shared" si="1"/>
        <v>623.1</v>
      </c>
      <c r="N10" s="15">
        <v>14</v>
      </c>
      <c r="O10" s="1">
        <v>45931</v>
      </c>
      <c r="P10" s="1">
        <v>46022</v>
      </c>
    </row>
    <row r="11" spans="1:16" x14ac:dyDescent="0.25">
      <c r="A11" s="18" t="s">
        <v>47</v>
      </c>
      <c r="B11" s="18" t="s">
        <v>49</v>
      </c>
      <c r="C11" s="14" t="s">
        <v>32</v>
      </c>
      <c r="D11" s="14" t="s">
        <v>39</v>
      </c>
      <c r="E11" s="14" t="s">
        <v>18</v>
      </c>
      <c r="F11" s="2">
        <v>54.45</v>
      </c>
      <c r="G11" s="5">
        <v>1</v>
      </c>
      <c r="H11" s="4">
        <f t="shared" si="0"/>
        <v>54.45</v>
      </c>
      <c r="I11" s="3">
        <v>1</v>
      </c>
      <c r="J11" s="3">
        <v>6</v>
      </c>
      <c r="K11" s="3">
        <v>30</v>
      </c>
      <c r="L11" s="3">
        <f t="shared" si="2"/>
        <v>326.70000000000005</v>
      </c>
      <c r="M11" s="3">
        <f>H11*K11</f>
        <v>1633.5</v>
      </c>
      <c r="N11" s="15">
        <v>14</v>
      </c>
      <c r="O11" s="1">
        <v>45931</v>
      </c>
      <c r="P11" s="1">
        <v>46022</v>
      </c>
    </row>
    <row r="12" spans="1:16" x14ac:dyDescent="0.25">
      <c r="A12" s="18" t="s">
        <v>47</v>
      </c>
      <c r="B12" s="18" t="s">
        <v>49</v>
      </c>
      <c r="C12" s="14" t="s">
        <v>32</v>
      </c>
      <c r="D12" s="14" t="s">
        <v>39</v>
      </c>
      <c r="E12" s="14" t="s">
        <v>19</v>
      </c>
      <c r="F12" s="2">
        <v>14.75</v>
      </c>
      <c r="G12" s="5">
        <v>1</v>
      </c>
      <c r="H12" s="4">
        <f t="shared" si="0"/>
        <v>14.75</v>
      </c>
      <c r="I12" s="3">
        <v>1</v>
      </c>
      <c r="J12" s="3">
        <v>6</v>
      </c>
      <c r="K12" s="3">
        <v>30</v>
      </c>
      <c r="L12" s="3">
        <f t="shared" si="2"/>
        <v>88.5</v>
      </c>
      <c r="M12" s="3">
        <f t="shared" si="1"/>
        <v>442.5</v>
      </c>
      <c r="N12" s="15">
        <v>14</v>
      </c>
      <c r="O12" s="1">
        <v>45931</v>
      </c>
      <c r="P12" s="1">
        <v>46022</v>
      </c>
    </row>
    <row r="13" spans="1:16" x14ac:dyDescent="0.25">
      <c r="A13" s="18" t="s">
        <v>47</v>
      </c>
      <c r="B13" s="18" t="s">
        <v>49</v>
      </c>
      <c r="C13" s="14" t="s">
        <v>33</v>
      </c>
      <c r="D13" s="14" t="s">
        <v>40</v>
      </c>
      <c r="E13" s="14" t="s">
        <v>20</v>
      </c>
      <c r="F13" s="2">
        <v>13.16</v>
      </c>
      <c r="G13" s="5">
        <v>4</v>
      </c>
      <c r="H13" s="4">
        <f t="shared" si="0"/>
        <v>52.64</v>
      </c>
      <c r="I13" s="3">
        <v>1</v>
      </c>
      <c r="J13" s="3">
        <v>7</v>
      </c>
      <c r="K13" s="3">
        <v>31</v>
      </c>
      <c r="L13" s="3">
        <f t="shared" si="2"/>
        <v>368.48</v>
      </c>
      <c r="M13" s="3">
        <f t="shared" si="1"/>
        <v>1631.84</v>
      </c>
      <c r="N13" s="15">
        <v>14</v>
      </c>
      <c r="O13" s="1">
        <v>45931</v>
      </c>
      <c r="P13" s="1">
        <v>46022</v>
      </c>
    </row>
    <row r="14" spans="1:16" x14ac:dyDescent="0.25">
      <c r="A14" s="18" t="s">
        <v>47</v>
      </c>
      <c r="B14" s="18" t="s">
        <v>49</v>
      </c>
      <c r="C14" s="14" t="s">
        <v>36</v>
      </c>
      <c r="D14" s="14" t="s">
        <v>41</v>
      </c>
      <c r="E14" s="14" t="s">
        <v>21</v>
      </c>
      <c r="F14" s="2">
        <v>13.16</v>
      </c>
      <c r="G14" s="5">
        <v>1</v>
      </c>
      <c r="H14" s="4">
        <f t="shared" si="0"/>
        <v>13.16</v>
      </c>
      <c r="I14" s="3">
        <v>1</v>
      </c>
      <c r="J14" s="3">
        <v>6</v>
      </c>
      <c r="K14" s="3">
        <v>30</v>
      </c>
      <c r="L14" s="3">
        <f t="shared" si="2"/>
        <v>78.960000000000008</v>
      </c>
      <c r="M14" s="3">
        <f t="shared" si="1"/>
        <v>394.8</v>
      </c>
      <c r="N14" s="15">
        <v>14</v>
      </c>
      <c r="O14" s="1">
        <v>45931</v>
      </c>
      <c r="P14" s="1">
        <v>46022</v>
      </c>
    </row>
    <row r="15" spans="1:16" x14ac:dyDescent="0.25">
      <c r="A15" s="18" t="s">
        <v>47</v>
      </c>
      <c r="B15" s="18" t="s">
        <v>49</v>
      </c>
      <c r="C15" s="14" t="s">
        <v>34</v>
      </c>
      <c r="D15" s="14" t="s">
        <v>42</v>
      </c>
      <c r="E15" s="14" t="s">
        <v>22</v>
      </c>
      <c r="F15" s="2">
        <v>56.83</v>
      </c>
      <c r="G15" s="5">
        <v>1</v>
      </c>
      <c r="H15" s="4">
        <f>F15*G15</f>
        <v>56.83</v>
      </c>
      <c r="I15" s="3">
        <v>1</v>
      </c>
      <c r="J15" s="3">
        <v>7</v>
      </c>
      <c r="K15" s="3">
        <v>31</v>
      </c>
      <c r="L15" s="3">
        <f>H15*J15</f>
        <v>397.81</v>
      </c>
      <c r="M15" s="3">
        <f>H15*K15</f>
        <v>1761.73</v>
      </c>
      <c r="N15" s="15">
        <v>14</v>
      </c>
      <c r="O15" s="1">
        <v>45931</v>
      </c>
      <c r="P15" s="1">
        <v>46022</v>
      </c>
    </row>
    <row r="16" spans="1:16" x14ac:dyDescent="0.25">
      <c r="A16" s="18" t="s">
        <v>47</v>
      </c>
      <c r="B16" s="18" t="s">
        <v>49</v>
      </c>
      <c r="C16" s="14" t="s">
        <v>34</v>
      </c>
      <c r="D16" s="14" t="s">
        <v>42</v>
      </c>
      <c r="E16" s="14" t="s">
        <v>23</v>
      </c>
      <c r="F16" s="2">
        <v>28</v>
      </c>
      <c r="G16" s="5">
        <v>1</v>
      </c>
      <c r="H16" s="4">
        <f>F16*G16</f>
        <v>28</v>
      </c>
      <c r="I16" s="3">
        <v>1</v>
      </c>
      <c r="J16" s="3">
        <v>7</v>
      </c>
      <c r="K16" s="3">
        <v>31</v>
      </c>
      <c r="L16" s="3">
        <f>H16*J16</f>
        <v>196</v>
      </c>
      <c r="M16" s="3">
        <f>H16*K16</f>
        <v>868</v>
      </c>
      <c r="N16" s="15">
        <v>14</v>
      </c>
      <c r="O16" s="1">
        <v>45931</v>
      </c>
      <c r="P16" s="1">
        <v>46022</v>
      </c>
    </row>
    <row r="17" spans="1:16" x14ac:dyDescent="0.25">
      <c r="A17" s="18" t="s">
        <v>47</v>
      </c>
      <c r="B17" s="18" t="s">
        <v>49</v>
      </c>
      <c r="C17" s="14" t="s">
        <v>35</v>
      </c>
      <c r="D17" s="14" t="s">
        <v>43</v>
      </c>
      <c r="E17" s="14" t="s">
        <v>24</v>
      </c>
      <c r="F17" s="2">
        <v>27.5</v>
      </c>
      <c r="G17" s="5">
        <v>1</v>
      </c>
      <c r="H17" s="4">
        <f t="shared" ref="H17:H20" si="3">F17*G17</f>
        <v>27.5</v>
      </c>
      <c r="I17" s="3">
        <v>1</v>
      </c>
      <c r="J17" s="3">
        <v>1</v>
      </c>
      <c r="K17" s="3">
        <v>5</v>
      </c>
      <c r="L17" s="3">
        <f t="shared" ref="L17:L20" si="4">H17*J17</f>
        <v>27.5</v>
      </c>
      <c r="M17" s="3">
        <f t="shared" ref="M17:M20" si="5">H17*K17</f>
        <v>137.5</v>
      </c>
      <c r="N17" s="15">
        <v>14</v>
      </c>
      <c r="O17" s="1">
        <v>45931</v>
      </c>
      <c r="P17" s="1">
        <v>46022</v>
      </c>
    </row>
    <row r="18" spans="1:16" x14ac:dyDescent="0.25">
      <c r="A18" s="18" t="s">
        <v>47</v>
      </c>
      <c r="B18" s="18" t="s">
        <v>49</v>
      </c>
      <c r="C18" s="14" t="s">
        <v>35</v>
      </c>
      <c r="D18" s="14" t="s">
        <v>43</v>
      </c>
      <c r="E18" s="14" t="s">
        <v>25</v>
      </c>
      <c r="F18" s="2">
        <v>41.54</v>
      </c>
      <c r="G18" s="5">
        <v>1</v>
      </c>
      <c r="H18" s="4">
        <f t="shared" si="3"/>
        <v>41.54</v>
      </c>
      <c r="I18" s="3">
        <v>1</v>
      </c>
      <c r="J18" s="3">
        <v>3</v>
      </c>
      <c r="K18" s="3">
        <v>15</v>
      </c>
      <c r="L18" s="3">
        <f t="shared" si="4"/>
        <v>124.62</v>
      </c>
      <c r="M18" s="3">
        <f t="shared" si="5"/>
        <v>623.1</v>
      </c>
      <c r="N18" s="15">
        <v>14</v>
      </c>
      <c r="O18" s="1">
        <v>45931</v>
      </c>
      <c r="P18" s="1">
        <v>46022</v>
      </c>
    </row>
    <row r="19" spans="1:16" x14ac:dyDescent="0.25">
      <c r="A19" s="18" t="s">
        <v>47</v>
      </c>
      <c r="B19" s="18" t="s">
        <v>49</v>
      </c>
      <c r="C19" s="14" t="s">
        <v>36</v>
      </c>
      <c r="D19" s="14" t="s">
        <v>41</v>
      </c>
      <c r="E19" s="16" t="s">
        <v>26</v>
      </c>
      <c r="F19" s="6">
        <v>27.5</v>
      </c>
      <c r="G19" s="7">
        <v>2</v>
      </c>
      <c r="H19" s="4">
        <f t="shared" si="3"/>
        <v>55</v>
      </c>
      <c r="I19" s="7">
        <v>1</v>
      </c>
      <c r="J19" s="7">
        <v>1</v>
      </c>
      <c r="K19" s="7">
        <v>5</v>
      </c>
      <c r="L19" s="3">
        <f>H19*J19</f>
        <v>55</v>
      </c>
      <c r="M19" s="3">
        <f>H19*K19</f>
        <v>275</v>
      </c>
      <c r="N19" s="15">
        <v>14</v>
      </c>
      <c r="O19" s="1">
        <v>45931</v>
      </c>
      <c r="P19" s="1">
        <v>46022</v>
      </c>
    </row>
    <row r="20" spans="1:16" x14ac:dyDescent="0.25">
      <c r="A20" s="18" t="s">
        <v>47</v>
      </c>
      <c r="B20" s="18" t="s">
        <v>49</v>
      </c>
      <c r="C20" s="14" t="s">
        <v>37</v>
      </c>
      <c r="D20" s="14" t="s">
        <v>44</v>
      </c>
      <c r="E20" s="16" t="s">
        <v>27</v>
      </c>
      <c r="F20" s="6">
        <v>14.76</v>
      </c>
      <c r="G20" s="7">
        <v>1</v>
      </c>
      <c r="H20" s="4">
        <f t="shared" si="3"/>
        <v>14.76</v>
      </c>
      <c r="I20" s="7">
        <v>1</v>
      </c>
      <c r="J20" s="7">
        <v>1</v>
      </c>
      <c r="K20" s="7">
        <v>5</v>
      </c>
      <c r="L20" s="3">
        <f t="shared" si="4"/>
        <v>14.76</v>
      </c>
      <c r="M20" s="3">
        <f t="shared" si="5"/>
        <v>73.8</v>
      </c>
      <c r="N20" s="15">
        <v>14</v>
      </c>
      <c r="O20" s="1">
        <v>45931</v>
      </c>
      <c r="P20" s="1">
        <v>46022</v>
      </c>
    </row>
    <row r="21" spans="1:16" x14ac:dyDescent="0.25">
      <c r="A21" s="18" t="s">
        <v>50</v>
      </c>
      <c r="B21" s="18" t="s">
        <v>51</v>
      </c>
      <c r="C21" s="14" t="s">
        <v>95</v>
      </c>
      <c r="D21" s="14" t="s">
        <v>99</v>
      </c>
      <c r="E21" s="18" t="s">
        <v>52</v>
      </c>
      <c r="F21" s="6">
        <v>120.96</v>
      </c>
      <c r="G21" s="6">
        <v>1</v>
      </c>
      <c r="H21" s="6">
        <v>120.96</v>
      </c>
      <c r="I21" s="6">
        <v>1</v>
      </c>
      <c r="J21" s="6">
        <v>6</v>
      </c>
      <c r="K21" s="6">
        <v>30</v>
      </c>
      <c r="L21" s="6">
        <v>725.76</v>
      </c>
      <c r="M21" s="6">
        <v>3628.7999999999997</v>
      </c>
      <c r="N21" s="6">
        <v>14</v>
      </c>
      <c r="O21" s="6">
        <v>45931</v>
      </c>
      <c r="P21" s="6">
        <v>46022</v>
      </c>
    </row>
    <row r="22" spans="1:16" x14ac:dyDescent="0.25">
      <c r="A22" s="18" t="s">
        <v>50</v>
      </c>
      <c r="B22" s="18" t="s">
        <v>74</v>
      </c>
      <c r="C22" s="14" t="s">
        <v>95</v>
      </c>
      <c r="D22" s="14" t="s">
        <v>99</v>
      </c>
      <c r="E22" s="18" t="s">
        <v>53</v>
      </c>
      <c r="F22" s="6">
        <v>60.23</v>
      </c>
      <c r="G22" s="6">
        <v>1</v>
      </c>
      <c r="H22" s="6">
        <v>60.23</v>
      </c>
      <c r="I22" s="6">
        <v>1</v>
      </c>
      <c r="J22" s="6">
        <v>6</v>
      </c>
      <c r="K22" s="6">
        <v>30</v>
      </c>
      <c r="L22" s="6">
        <v>361.38</v>
      </c>
      <c r="M22" s="6">
        <v>1806.8999999999999</v>
      </c>
      <c r="N22" s="6">
        <v>14</v>
      </c>
      <c r="O22" s="6">
        <v>45931</v>
      </c>
      <c r="P22" s="6">
        <v>46022</v>
      </c>
    </row>
    <row r="23" spans="1:16" x14ac:dyDescent="0.25">
      <c r="A23" s="18" t="s">
        <v>50</v>
      </c>
      <c r="B23" s="18" t="s">
        <v>75</v>
      </c>
      <c r="C23" s="19" t="s">
        <v>95</v>
      </c>
      <c r="D23" s="19" t="s">
        <v>99</v>
      </c>
      <c r="E23" s="18" t="s">
        <v>54</v>
      </c>
      <c r="F23" s="6">
        <v>13.16</v>
      </c>
      <c r="G23" s="6">
        <v>1</v>
      </c>
      <c r="H23" s="6">
        <v>13.16</v>
      </c>
      <c r="I23" s="6">
        <v>1</v>
      </c>
      <c r="J23" s="6">
        <v>1</v>
      </c>
      <c r="K23" s="6">
        <v>5</v>
      </c>
      <c r="L23" s="6">
        <v>13.16</v>
      </c>
      <c r="M23" s="6">
        <v>65.8</v>
      </c>
      <c r="N23" s="6">
        <v>14</v>
      </c>
      <c r="O23" s="6">
        <v>45931</v>
      </c>
      <c r="P23" s="6">
        <v>46022</v>
      </c>
    </row>
    <row r="24" spans="1:16" x14ac:dyDescent="0.25">
      <c r="A24" s="18" t="s">
        <v>50</v>
      </c>
      <c r="B24" s="18" t="s">
        <v>76</v>
      </c>
      <c r="C24" s="19" t="s">
        <v>95</v>
      </c>
      <c r="D24" s="19" t="s">
        <v>99</v>
      </c>
      <c r="E24" s="18" t="s">
        <v>55</v>
      </c>
      <c r="F24" s="6">
        <v>13.16</v>
      </c>
      <c r="G24" s="6">
        <v>1</v>
      </c>
      <c r="H24" s="6">
        <v>13.16</v>
      </c>
      <c r="I24" s="6">
        <v>1</v>
      </c>
      <c r="J24" s="6">
        <v>1</v>
      </c>
      <c r="K24" s="6">
        <v>5</v>
      </c>
      <c r="L24" s="6">
        <v>13.16</v>
      </c>
      <c r="M24" s="6">
        <v>65.8</v>
      </c>
      <c r="N24" s="6">
        <v>14</v>
      </c>
      <c r="O24" s="6">
        <v>45931</v>
      </c>
      <c r="P24" s="6">
        <v>46022</v>
      </c>
    </row>
    <row r="25" spans="1:16" x14ac:dyDescent="0.25">
      <c r="A25" s="18" t="s">
        <v>50</v>
      </c>
      <c r="B25" s="18" t="s">
        <v>77</v>
      </c>
      <c r="C25" s="19" t="s">
        <v>95</v>
      </c>
      <c r="D25" s="19" t="s">
        <v>99</v>
      </c>
      <c r="E25" s="18" t="s">
        <v>56</v>
      </c>
      <c r="F25" s="6">
        <v>13.16</v>
      </c>
      <c r="G25" s="6">
        <v>1</v>
      </c>
      <c r="H25" s="6">
        <v>13.16</v>
      </c>
      <c r="I25" s="6">
        <v>1</v>
      </c>
      <c r="J25" s="6">
        <v>1</v>
      </c>
      <c r="K25" s="6">
        <v>5</v>
      </c>
      <c r="L25" s="6">
        <v>13.16</v>
      </c>
      <c r="M25" s="6">
        <v>65.8</v>
      </c>
      <c r="N25" s="6">
        <v>14</v>
      </c>
      <c r="O25" s="6">
        <v>45931</v>
      </c>
      <c r="P25" s="6">
        <v>46022</v>
      </c>
    </row>
    <row r="26" spans="1:16" x14ac:dyDescent="0.25">
      <c r="A26" s="18" t="s">
        <v>50</v>
      </c>
      <c r="B26" s="18" t="s">
        <v>78</v>
      </c>
      <c r="C26" s="19" t="s">
        <v>95</v>
      </c>
      <c r="D26" s="19" t="s">
        <v>99</v>
      </c>
      <c r="E26" s="18" t="s">
        <v>57</v>
      </c>
      <c r="F26" s="6">
        <v>13.16</v>
      </c>
      <c r="G26" s="6">
        <v>1</v>
      </c>
      <c r="H26" s="6">
        <v>13.16</v>
      </c>
      <c r="I26" s="6">
        <v>1</v>
      </c>
      <c r="J26" s="6">
        <v>1</v>
      </c>
      <c r="K26" s="6">
        <v>5</v>
      </c>
      <c r="L26" s="6">
        <v>13.16</v>
      </c>
      <c r="M26" s="6">
        <v>65.8</v>
      </c>
      <c r="N26" s="6">
        <v>14</v>
      </c>
      <c r="O26" s="6">
        <v>45931</v>
      </c>
      <c r="P26" s="6">
        <v>46022</v>
      </c>
    </row>
    <row r="27" spans="1:16" x14ac:dyDescent="0.25">
      <c r="A27" s="18" t="s">
        <v>50</v>
      </c>
      <c r="B27" s="18" t="s">
        <v>79</v>
      </c>
      <c r="C27" s="19" t="s">
        <v>95</v>
      </c>
      <c r="D27" s="19" t="s">
        <v>99</v>
      </c>
      <c r="E27" s="18" t="s">
        <v>58</v>
      </c>
      <c r="F27" s="6">
        <v>13.16</v>
      </c>
      <c r="G27" s="6">
        <v>1</v>
      </c>
      <c r="H27" s="6">
        <v>13.16</v>
      </c>
      <c r="I27" s="6">
        <v>1</v>
      </c>
      <c r="J27" s="6">
        <v>1</v>
      </c>
      <c r="K27" s="6">
        <v>5</v>
      </c>
      <c r="L27" s="6">
        <v>13.16</v>
      </c>
      <c r="M27" s="6">
        <v>65.8</v>
      </c>
      <c r="N27" s="6">
        <v>14</v>
      </c>
      <c r="O27" s="6">
        <v>45931</v>
      </c>
      <c r="P27" s="6">
        <v>46022</v>
      </c>
    </row>
    <row r="28" spans="1:16" x14ac:dyDescent="0.25">
      <c r="A28" s="18" t="s">
        <v>50</v>
      </c>
      <c r="B28" s="18" t="s">
        <v>80</v>
      </c>
      <c r="C28" s="19" t="s">
        <v>95</v>
      </c>
      <c r="D28" s="19" t="s">
        <v>99</v>
      </c>
      <c r="E28" s="18" t="s">
        <v>59</v>
      </c>
      <c r="F28" s="6">
        <v>13.16</v>
      </c>
      <c r="G28" s="6">
        <v>1</v>
      </c>
      <c r="H28" s="6">
        <v>13.16</v>
      </c>
      <c r="I28" s="6">
        <v>1</v>
      </c>
      <c r="J28" s="6">
        <v>1</v>
      </c>
      <c r="K28" s="6">
        <v>5</v>
      </c>
      <c r="L28" s="6">
        <v>13.16</v>
      </c>
      <c r="M28" s="6">
        <v>65.8</v>
      </c>
      <c r="N28" s="6">
        <v>14</v>
      </c>
      <c r="O28" s="6">
        <v>45931</v>
      </c>
      <c r="P28" s="6">
        <v>46022</v>
      </c>
    </row>
    <row r="29" spans="1:16" x14ac:dyDescent="0.25">
      <c r="A29" s="18" t="s">
        <v>50</v>
      </c>
      <c r="B29" s="18" t="s">
        <v>81</v>
      </c>
      <c r="C29" s="19" t="s">
        <v>95</v>
      </c>
      <c r="D29" s="19" t="s">
        <v>99</v>
      </c>
      <c r="E29" s="18" t="s">
        <v>60</v>
      </c>
      <c r="F29" s="6">
        <v>6.46</v>
      </c>
      <c r="G29" s="6">
        <v>1</v>
      </c>
      <c r="H29" s="6">
        <v>6.46</v>
      </c>
      <c r="I29" s="6">
        <v>1</v>
      </c>
      <c r="J29" s="6">
        <v>1</v>
      </c>
      <c r="K29" s="6">
        <v>5</v>
      </c>
      <c r="L29" s="6">
        <v>6.46</v>
      </c>
      <c r="M29" s="6">
        <v>32.299999999999997</v>
      </c>
      <c r="N29" s="6">
        <v>14</v>
      </c>
      <c r="O29" s="6">
        <v>45931</v>
      </c>
      <c r="P29" s="6">
        <v>46022</v>
      </c>
    </row>
    <row r="30" spans="1:16" x14ac:dyDescent="0.25">
      <c r="A30" s="18" t="s">
        <v>50</v>
      </c>
      <c r="B30" s="18" t="s">
        <v>82</v>
      </c>
      <c r="C30" s="19" t="s">
        <v>95</v>
      </c>
      <c r="D30" s="19" t="s">
        <v>99</v>
      </c>
      <c r="E30" s="18" t="s">
        <v>61</v>
      </c>
      <c r="F30" s="6">
        <v>13.16</v>
      </c>
      <c r="G30" s="6">
        <v>1</v>
      </c>
      <c r="H30" s="6">
        <v>13.16</v>
      </c>
      <c r="I30" s="6">
        <v>1</v>
      </c>
      <c r="J30" s="6">
        <v>1</v>
      </c>
      <c r="K30" s="6">
        <v>5</v>
      </c>
      <c r="L30" s="6">
        <v>13.16</v>
      </c>
      <c r="M30" s="6">
        <v>65.8</v>
      </c>
      <c r="N30" s="6">
        <v>14</v>
      </c>
      <c r="O30" s="6">
        <v>45931</v>
      </c>
      <c r="P30" s="6">
        <v>46022</v>
      </c>
    </row>
    <row r="31" spans="1:16" x14ac:dyDescent="0.25">
      <c r="A31" s="18" t="s">
        <v>50</v>
      </c>
      <c r="B31" s="18" t="s">
        <v>83</v>
      </c>
      <c r="C31" s="19" t="s">
        <v>95</v>
      </c>
      <c r="D31" s="19" t="s">
        <v>99</v>
      </c>
      <c r="E31" s="18" t="s">
        <v>62</v>
      </c>
      <c r="F31" s="6">
        <v>13.16</v>
      </c>
      <c r="G31" s="6">
        <v>1</v>
      </c>
      <c r="H31" s="6">
        <v>13.16</v>
      </c>
      <c r="I31" s="6">
        <v>1</v>
      </c>
      <c r="J31" s="6">
        <v>2</v>
      </c>
      <c r="K31" s="6">
        <v>10</v>
      </c>
      <c r="L31" s="6">
        <v>26.32</v>
      </c>
      <c r="M31" s="6">
        <v>131.6</v>
      </c>
      <c r="N31" s="6">
        <v>14</v>
      </c>
      <c r="O31" s="6">
        <v>45931</v>
      </c>
      <c r="P31" s="6">
        <v>46022</v>
      </c>
    </row>
    <row r="32" spans="1:16" x14ac:dyDescent="0.25">
      <c r="A32" s="18" t="s">
        <v>50</v>
      </c>
      <c r="B32" s="18" t="s">
        <v>84</v>
      </c>
      <c r="C32" s="19" t="s">
        <v>95</v>
      </c>
      <c r="D32" s="19" t="s">
        <v>99</v>
      </c>
      <c r="E32" s="18" t="s">
        <v>63</v>
      </c>
      <c r="F32" s="6">
        <v>41.54</v>
      </c>
      <c r="G32" s="6">
        <v>1</v>
      </c>
      <c r="H32" s="6">
        <v>41.54</v>
      </c>
      <c r="I32" s="6">
        <v>1</v>
      </c>
      <c r="J32" s="6">
        <v>2</v>
      </c>
      <c r="K32" s="6">
        <v>10</v>
      </c>
      <c r="L32" s="6">
        <v>83.08</v>
      </c>
      <c r="M32" s="6">
        <v>415.4</v>
      </c>
      <c r="N32" s="6">
        <v>14</v>
      </c>
      <c r="O32" s="6">
        <v>45931</v>
      </c>
      <c r="P32" s="6">
        <v>46022</v>
      </c>
    </row>
    <row r="33" spans="1:16" x14ac:dyDescent="0.25">
      <c r="A33" s="18" t="s">
        <v>50</v>
      </c>
      <c r="B33" s="18" t="s">
        <v>85</v>
      </c>
      <c r="C33" s="19" t="s">
        <v>95</v>
      </c>
      <c r="D33" s="19" t="s">
        <v>99</v>
      </c>
      <c r="E33" s="18" t="s">
        <v>64</v>
      </c>
      <c r="F33" s="6">
        <v>13.16</v>
      </c>
      <c r="G33" s="6">
        <v>1</v>
      </c>
      <c r="H33" s="6">
        <v>13.16</v>
      </c>
      <c r="I33" s="6">
        <v>1</v>
      </c>
      <c r="J33" s="6">
        <v>1</v>
      </c>
      <c r="K33" s="6">
        <v>5</v>
      </c>
      <c r="L33" s="6">
        <v>13.16</v>
      </c>
      <c r="M33" s="6">
        <v>65.8</v>
      </c>
      <c r="N33" s="6">
        <v>14</v>
      </c>
      <c r="O33" s="6">
        <v>45931</v>
      </c>
      <c r="P33" s="6">
        <v>46022</v>
      </c>
    </row>
    <row r="34" spans="1:16" x14ac:dyDescent="0.25">
      <c r="A34" s="18" t="s">
        <v>50</v>
      </c>
      <c r="B34" s="18" t="s">
        <v>86</v>
      </c>
      <c r="C34" s="19" t="s">
        <v>98</v>
      </c>
      <c r="D34" s="19" t="s">
        <v>99</v>
      </c>
      <c r="E34" s="18" t="s">
        <v>65</v>
      </c>
      <c r="F34" s="6">
        <v>27.5</v>
      </c>
      <c r="G34" s="6">
        <v>1</v>
      </c>
      <c r="H34" s="6">
        <v>27.5</v>
      </c>
      <c r="I34" s="6">
        <v>1</v>
      </c>
      <c r="J34" s="6">
        <v>1</v>
      </c>
      <c r="K34" s="6">
        <v>5</v>
      </c>
      <c r="L34" s="6">
        <v>27.5</v>
      </c>
      <c r="M34" s="6">
        <v>137.5</v>
      </c>
      <c r="N34" s="6">
        <v>14</v>
      </c>
      <c r="O34" s="6">
        <v>45931</v>
      </c>
      <c r="P34" s="6">
        <v>46022</v>
      </c>
    </row>
    <row r="35" spans="1:16" x14ac:dyDescent="0.25">
      <c r="A35" s="18" t="s">
        <v>50</v>
      </c>
      <c r="B35" s="18" t="s">
        <v>87</v>
      </c>
      <c r="C35" s="19" t="s">
        <v>95</v>
      </c>
      <c r="D35" s="19" t="s">
        <v>99</v>
      </c>
      <c r="E35" s="18" t="s">
        <v>66</v>
      </c>
      <c r="F35" s="6">
        <v>41.54</v>
      </c>
      <c r="G35" s="6">
        <v>1</v>
      </c>
      <c r="H35" s="6">
        <v>41.54</v>
      </c>
      <c r="I35" s="6">
        <v>1</v>
      </c>
      <c r="J35" s="6">
        <v>1</v>
      </c>
      <c r="K35" s="6">
        <v>5</v>
      </c>
      <c r="L35" s="6">
        <v>41.54</v>
      </c>
      <c r="M35" s="6">
        <v>207.7</v>
      </c>
      <c r="N35" s="6">
        <v>14</v>
      </c>
      <c r="O35" s="6">
        <v>45931</v>
      </c>
      <c r="P35" s="6">
        <v>46022</v>
      </c>
    </row>
    <row r="36" spans="1:16" x14ac:dyDescent="0.25">
      <c r="A36" s="18" t="s">
        <v>50</v>
      </c>
      <c r="B36" s="18" t="s">
        <v>88</v>
      </c>
      <c r="C36" s="19" t="s">
        <v>95</v>
      </c>
      <c r="D36" s="19" t="s">
        <v>99</v>
      </c>
      <c r="E36" s="18" t="s">
        <v>67</v>
      </c>
      <c r="F36" s="6">
        <v>27.5</v>
      </c>
      <c r="G36" s="6">
        <v>1</v>
      </c>
      <c r="H36" s="6">
        <v>27.5</v>
      </c>
      <c r="I36" s="6">
        <v>1</v>
      </c>
      <c r="J36" s="6">
        <v>1</v>
      </c>
      <c r="K36" s="6">
        <v>5</v>
      </c>
      <c r="L36" s="6">
        <v>27.5</v>
      </c>
      <c r="M36" s="6">
        <v>137.5</v>
      </c>
      <c r="N36" s="6">
        <v>14</v>
      </c>
      <c r="O36" s="6">
        <v>45931</v>
      </c>
      <c r="P36" s="6">
        <v>46022</v>
      </c>
    </row>
    <row r="37" spans="1:16" x14ac:dyDescent="0.25">
      <c r="A37" s="18" t="s">
        <v>50</v>
      </c>
      <c r="B37" s="18" t="s">
        <v>89</v>
      </c>
      <c r="C37" s="18" t="s">
        <v>97</v>
      </c>
      <c r="D37" s="19" t="s">
        <v>100</v>
      </c>
      <c r="E37" s="18" t="s">
        <v>68</v>
      </c>
      <c r="F37" s="6">
        <v>27.5</v>
      </c>
      <c r="G37" s="6">
        <v>1</v>
      </c>
      <c r="H37" s="6">
        <v>27.5</v>
      </c>
      <c r="I37" s="6">
        <v>1</v>
      </c>
      <c r="J37" s="6">
        <v>1</v>
      </c>
      <c r="K37" s="6">
        <v>1</v>
      </c>
      <c r="L37" s="6">
        <v>27.5</v>
      </c>
      <c r="M37" s="6">
        <v>27.5</v>
      </c>
      <c r="N37" s="6">
        <v>14</v>
      </c>
      <c r="O37" s="6">
        <v>45931</v>
      </c>
      <c r="P37" s="6">
        <v>46022</v>
      </c>
    </row>
    <row r="38" spans="1:16" x14ac:dyDescent="0.25">
      <c r="A38" s="18" t="s">
        <v>50</v>
      </c>
      <c r="B38" s="18" t="s">
        <v>90</v>
      </c>
      <c r="C38" s="18" t="s">
        <v>97</v>
      </c>
      <c r="D38" s="19" t="s">
        <v>100</v>
      </c>
      <c r="E38" s="18" t="s">
        <v>69</v>
      </c>
      <c r="F38" s="6">
        <v>13.16</v>
      </c>
      <c r="G38" s="6">
        <v>1</v>
      </c>
      <c r="H38" s="6">
        <v>13.16</v>
      </c>
      <c r="I38" s="6">
        <v>1</v>
      </c>
      <c r="J38" s="6">
        <v>1</v>
      </c>
      <c r="K38" s="6">
        <v>1</v>
      </c>
      <c r="L38" s="6">
        <v>13.16</v>
      </c>
      <c r="M38" s="6">
        <v>13.16</v>
      </c>
      <c r="N38" s="6">
        <v>14</v>
      </c>
      <c r="O38" s="6">
        <v>45931</v>
      </c>
      <c r="P38" s="6">
        <v>46022</v>
      </c>
    </row>
    <row r="39" spans="1:16" x14ac:dyDescent="0.25">
      <c r="A39" s="18" t="s">
        <v>50</v>
      </c>
      <c r="B39" s="18" t="s">
        <v>91</v>
      </c>
      <c r="C39" s="18" t="s">
        <v>97</v>
      </c>
      <c r="D39" s="19" t="s">
        <v>100</v>
      </c>
      <c r="E39" s="18" t="s">
        <v>70</v>
      </c>
      <c r="F39" s="6">
        <v>27.5</v>
      </c>
      <c r="G39" s="6">
        <v>1</v>
      </c>
      <c r="H39" s="6">
        <v>27.5</v>
      </c>
      <c r="I39" s="6">
        <v>1</v>
      </c>
      <c r="J39" s="6">
        <v>1</v>
      </c>
      <c r="K39" s="6">
        <v>1</v>
      </c>
      <c r="L39" s="6">
        <v>27.5</v>
      </c>
      <c r="M39" s="6">
        <v>27.5</v>
      </c>
      <c r="N39" s="6">
        <v>14</v>
      </c>
      <c r="O39" s="6">
        <v>45931</v>
      </c>
      <c r="P39" s="6">
        <v>46022</v>
      </c>
    </row>
    <row r="40" spans="1:16" x14ac:dyDescent="0.25">
      <c r="A40" s="18" t="s">
        <v>50</v>
      </c>
      <c r="B40" s="18" t="s">
        <v>92</v>
      </c>
      <c r="C40" s="18" t="s">
        <v>97</v>
      </c>
      <c r="D40" s="19" t="s">
        <v>100</v>
      </c>
      <c r="E40" s="18" t="s">
        <v>71</v>
      </c>
      <c r="F40" s="6">
        <v>3.63</v>
      </c>
      <c r="G40" s="6">
        <v>1</v>
      </c>
      <c r="H40" s="6">
        <v>3.63</v>
      </c>
      <c r="I40" s="6">
        <v>1</v>
      </c>
      <c r="J40" s="6">
        <v>1</v>
      </c>
      <c r="K40" s="6">
        <v>1</v>
      </c>
      <c r="L40" s="6">
        <v>3.63</v>
      </c>
      <c r="M40" s="6">
        <v>3.63</v>
      </c>
      <c r="N40" s="6">
        <v>14</v>
      </c>
      <c r="O40" s="6">
        <v>45931</v>
      </c>
      <c r="P40" s="6">
        <v>46022</v>
      </c>
    </row>
    <row r="41" spans="1:16" x14ac:dyDescent="0.25">
      <c r="A41" s="18" t="s">
        <v>50</v>
      </c>
      <c r="B41" s="18" t="s">
        <v>93</v>
      </c>
      <c r="C41" s="19" t="s">
        <v>96</v>
      </c>
      <c r="D41" s="19" t="s">
        <v>101</v>
      </c>
      <c r="E41" s="18" t="s">
        <v>72</v>
      </c>
      <c r="F41" s="6">
        <v>13.16</v>
      </c>
      <c r="G41" s="6">
        <v>1</v>
      </c>
      <c r="H41" s="6">
        <v>13.16</v>
      </c>
      <c r="I41" s="6">
        <v>1</v>
      </c>
      <c r="J41" s="6">
        <v>1</v>
      </c>
      <c r="K41" s="6">
        <v>5</v>
      </c>
      <c r="L41" s="6">
        <v>13.16</v>
      </c>
      <c r="M41" s="6">
        <v>65.8</v>
      </c>
      <c r="N41" s="6">
        <v>14</v>
      </c>
      <c r="O41" s="6">
        <v>45931</v>
      </c>
      <c r="P41" s="6">
        <v>46022</v>
      </c>
    </row>
    <row r="42" spans="1:16" x14ac:dyDescent="0.25">
      <c r="A42" s="18" t="s">
        <v>50</v>
      </c>
      <c r="B42" s="18" t="s">
        <v>94</v>
      </c>
      <c r="C42" s="19" t="s">
        <v>96</v>
      </c>
      <c r="D42" s="19" t="s">
        <v>101</v>
      </c>
      <c r="E42" s="18" t="s">
        <v>73</v>
      </c>
      <c r="F42" s="6">
        <v>27.5</v>
      </c>
      <c r="G42" s="6">
        <v>1</v>
      </c>
      <c r="H42" s="6">
        <v>27.5</v>
      </c>
      <c r="I42" s="6">
        <v>1</v>
      </c>
      <c r="J42" s="6">
        <v>1</v>
      </c>
      <c r="K42" s="6">
        <v>5</v>
      </c>
      <c r="L42" s="6">
        <v>27.5</v>
      </c>
      <c r="M42" s="6">
        <v>137.5</v>
      </c>
      <c r="N42" s="6">
        <v>14</v>
      </c>
      <c r="O42" s="6">
        <v>45931</v>
      </c>
      <c r="P42" s="6">
        <v>46022</v>
      </c>
    </row>
  </sheetData>
  <mergeCells count="16">
    <mergeCell ref="A1:A2"/>
    <mergeCell ref="B1:B2"/>
    <mergeCell ref="C1:C2"/>
    <mergeCell ref="D1:D2"/>
    <mergeCell ref="K1:K2"/>
    <mergeCell ref="L1:L2"/>
    <mergeCell ref="M1:M2"/>
    <mergeCell ref="N1:N2"/>
    <mergeCell ref="O1:O2"/>
    <mergeCell ref="P1:P2"/>
    <mergeCell ref="E1:E2"/>
    <mergeCell ref="F1:F2"/>
    <mergeCell ref="G1:G2"/>
    <mergeCell ref="H1:H2"/>
    <mergeCell ref="I1:I2"/>
    <mergeCell ref="J1:J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 Ademi</dc:creator>
  <cp:lastModifiedBy>Avni Ademi</cp:lastModifiedBy>
  <dcterms:created xsi:type="dcterms:W3CDTF">2025-09-07T18:25:51Z</dcterms:created>
  <dcterms:modified xsi:type="dcterms:W3CDTF">2025-09-07T18:39:49Z</dcterms:modified>
</cp:coreProperties>
</file>